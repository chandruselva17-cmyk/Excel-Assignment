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Dataset" sheetId="1" r:id="rId1"/>
    <sheet name="Sheet2" sheetId="3" r:id="rId2"/>
  </sheets>
  <definedNames>
    <definedName name="_xlnm._FilterDatabase" localSheetId="0" hidden="1">Dataset!$A$1:$F$35</definedName>
  </definedNames>
  <calcPr calcId="144525"/>
  <extLst>
    <ext uri="GoogleSheetsCustomDataVersion2">
      <go:sheetsCustomData xmlns:go="http://customooxmlschemas.google.com/" r:id="" roundtripDataChecksum="BodJfdMhecajOq6LlLlgHL1ilCo0qenb8UNpbolXvAE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E2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</calcChain>
</file>

<file path=xl/sharedStrings.xml><?xml version="1.0" encoding="utf-8"?>
<sst xmlns="http://schemas.openxmlformats.org/spreadsheetml/2006/main" count="245" uniqueCount="120">
  <si>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</si>
  <si>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</si>
  <si>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</si>
  <si>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</si>
  <si>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</si>
  <si>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</si>
  <si>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</si>
  <si>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</si>
  <si>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</si>
  <si>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</si>
  <si>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</si>
  <si>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</si>
  <si>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</si>
  <si>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</si>
  <si>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</si>
  <si>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</si>
  <si>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</si>
  <si>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</si>
  <si>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</si>
  <si>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</si>
  <si>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</si>
  <si>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</si>
  <si>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</si>
  <si>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</si>
  <si>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</si>
  <si>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</si>
  <si>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</si>
  <si>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</si>
  <si>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</si>
  <si>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</si>
  <si>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</si>
  <si>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</si>
  <si>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</si>
  <si>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</si>
  <si>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</si>
  <si>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</si>
  <si>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</si>
  <si>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</si>
  <si>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</si>
  <si>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</si>
  <si>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</si>
  <si>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</si>
  <si>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</si>
  <si>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</si>
  <si>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</si>
  <si>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</si>
  <si>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</si>
  <si>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</si>
  <si>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</si>
  <si>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</si>
  <si>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</si>
  <si>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</si>
  <si>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</si>
  <si>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</si>
  <si>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</si>
  <si>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</si>
  <si>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</si>
  <si>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</si>
  <si>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</si>
  <si>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</si>
  <si>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</si>
  <si>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</si>
  <si>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</si>
  <si>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</si>
  <si>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</si>
  <si>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</si>
  <si>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</si>
  <si>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</si>
  <si>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</si>
  <si>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</si>
  <si>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</si>
  <si>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</si>
  <si>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</si>
  <si>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</si>
  <si>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</si>
  <si>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</si>
  <si>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</si>
  <si>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</si>
  <si>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</si>
  <si>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</si>
  <si>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</si>
  <si>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</si>
  <si>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</si>
  <si>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</si>
  <si>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</si>
  <si>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</si>
  <si>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</si>
  <si>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</si>
  <si>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</si>
  <si>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</si>
  <si>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</si>
  <si>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</si>
  <si>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</si>
  <si>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</si>
  <si>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</si>
  <si>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</si>
  <si>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</si>
  <si>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</si>
  <si>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</si>
  <si>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</si>
  <si>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</si>
  <si>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</si>
  <si>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</si>
  <si>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</si>
  <si>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</si>
  <si>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</si>
  <si>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</si>
  <si>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</si>
  <si>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</si>
  <si>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</si>
  <si>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</si>
  <si>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</si>
  <si>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</si>
  <si>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</si>
  <si>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</si>
  <si>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</si>
  <si>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</si>
  <si>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</si>
  <si>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Product brand</t>
  </si>
  <si>
    <t>Smart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</si>
</sst>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2"/>
      <color rgb="FF000000"/>
      <name val="Times New Roman"/>
    </font>
    <font>
      <sz val="12"/>
      <color theme="1"/>
      <name val="Times New Roman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 applyFont="1" applyAlignment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 applyFont="1" applyAlignment="1"/>
    <xf numFmtId="0" fontId="6" fillId="3" borderId="0" xfId="0" applyFont="1" applyFill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Font="1" applyAlignment="1"/>
    <xf numFmtId="0" fontId="0" fillId="0" borderId="0" xfId="0" applyNumberFormat="1" applyFont="1" applyAlignment="1"/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2" fillId="3" borderId="0" xfId="0" applyNumberFormat="1" applyFont="1" applyFill="1"/>
    <xf numFmtId="14" fontId="0" fillId="0" borderId="0" xfId="0" applyNumberFormat="1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0"/>
  <sheetViews>
    <sheetView tabSelected="1" workbookViewId="0">
      <selection activeCell="L7" sqref="L7"/>
    </sheetView>
  </sheetViews>
  <sheetFormatPr defaultColWidth="12.5703125" defaultRowHeight="15" customHeight="1" x14ac:dyDescent="0.2"/>
  <cols>
    <col min="1" max="1" width="12.5703125" style="20"/>
    <col min="2" max="2" width="14" style="16" bestFit="1" customWidth="1"/>
    <col min="4" max="4" width="12.5703125" style="10"/>
    <col min="7" max="7" width="18.85546875" style="19" bestFit="1" customWidth="1"/>
    <col min="8" max="8" width="18.85546875" style="19" customWidth="1"/>
    <col min="10" max="10" width="21.7109375" bestFit="1" customWidth="1"/>
  </cols>
  <sheetData>
    <row r="1" spans="1:17" ht="15.75" customHeight="1" x14ac:dyDescent="0.2">
      <c r="A1" s="21" t="s">
        <v>0</v>
      </c>
      <c r="B1" s="13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8" t="s">
        <v>117</v>
      </c>
      <c r="H1" s="25" t="s">
        <v>117</v>
      </c>
      <c r="I1" s="11" t="s">
        <v>92</v>
      </c>
      <c r="J1" s="1" t="s">
        <v>118</v>
      </c>
    </row>
    <row r="2" spans="1:17" ht="15.75" customHeight="1" x14ac:dyDescent="0.2">
      <c r="A2" s="22" t="s">
        <v>6</v>
      </c>
      <c r="B2" s="14" t="s">
        <v>39</v>
      </c>
      <c r="C2" s="2" t="s">
        <v>7</v>
      </c>
      <c r="D2" s="8">
        <v>1000</v>
      </c>
      <c r="E2" s="2">
        <v>30</v>
      </c>
      <c r="F2" s="2" t="s">
        <v>8</v>
      </c>
      <c r="G2" s="19" t="str">
        <f>CONCATENATE(Sheet2!B2,Sheet2!C2)</f>
        <v>28JAN</v>
      </c>
      <c r="H2" s="24">
        <f>DATEVALUE(G2)</f>
        <v>46050</v>
      </c>
      <c r="I2" s="12" t="s">
        <v>94</v>
      </c>
      <c r="J2" t="str">
        <f>CONCATENATE(C2," ",B2)</f>
        <v>Dell Laptop</v>
      </c>
    </row>
    <row r="3" spans="1:17" ht="15.75" customHeight="1" x14ac:dyDescent="0.2">
      <c r="A3" s="23" t="s">
        <v>9</v>
      </c>
      <c r="B3" s="15" t="s">
        <v>10</v>
      </c>
      <c r="C3" s="3" t="s">
        <v>11</v>
      </c>
      <c r="D3" s="9">
        <v>80</v>
      </c>
      <c r="E3" s="3">
        <v>15</v>
      </c>
      <c r="F3" s="3" t="s">
        <v>12</v>
      </c>
      <c r="G3" s="19" t="str">
        <f>CONCATENATE(Sheet2!B3,Sheet2!C3)</f>
        <v>15FEB</v>
      </c>
      <c r="H3" s="24">
        <f t="shared" ref="H3:H35" si="0">DATEVALUE(G3)</f>
        <v>46068</v>
      </c>
      <c r="I3" s="12" t="s">
        <v>94</v>
      </c>
      <c r="J3" t="str">
        <f t="shared" ref="J3:J35" si="1">CONCATENATE(C3," ",B3)</f>
        <v>Nike Sneakers</v>
      </c>
      <c r="K3" s="4"/>
      <c r="L3" s="4"/>
      <c r="M3" s="4"/>
      <c r="N3" s="4"/>
      <c r="O3" s="4"/>
      <c r="P3" s="4"/>
      <c r="Q3" s="4"/>
    </row>
    <row r="4" spans="1:17" ht="15.75" customHeight="1" x14ac:dyDescent="0.25">
      <c r="A4" s="22" t="s">
        <v>13</v>
      </c>
      <c r="B4" s="14" t="s">
        <v>14</v>
      </c>
      <c r="C4" s="2" t="s">
        <v>15</v>
      </c>
      <c r="D4" s="8">
        <v>130</v>
      </c>
      <c r="E4" s="2">
        <v>40</v>
      </c>
      <c r="F4" s="2" t="s">
        <v>16</v>
      </c>
      <c r="G4" s="19" t="str">
        <f>CONCATENATE(Sheet2!B4,Sheet2!C4)</f>
        <v>3MAR</v>
      </c>
      <c r="H4" s="24">
        <f t="shared" si="0"/>
        <v>46084</v>
      </c>
      <c r="I4" s="12" t="s">
        <v>94</v>
      </c>
      <c r="J4" t="str">
        <f t="shared" si="1"/>
        <v>Keurig Coffee Maker</v>
      </c>
      <c r="K4" s="5"/>
      <c r="L4" s="4"/>
      <c r="M4" s="4"/>
      <c r="N4" s="4"/>
      <c r="O4" s="4"/>
      <c r="P4" s="4"/>
      <c r="Q4" s="4"/>
    </row>
    <row r="5" spans="1:17" ht="15.75" customHeight="1" x14ac:dyDescent="0.25">
      <c r="A5" s="23" t="s">
        <v>17</v>
      </c>
      <c r="B5" s="15" t="s">
        <v>119</v>
      </c>
      <c r="C5" s="3" t="s">
        <v>18</v>
      </c>
      <c r="D5" s="9">
        <v>900</v>
      </c>
      <c r="E5" s="3">
        <v>25</v>
      </c>
      <c r="F5" s="3" t="s">
        <v>8</v>
      </c>
      <c r="G5" s="19" t="str">
        <f>CONCATENATE(Sheet2!B5,Sheet2!C5)</f>
        <v>11APR</v>
      </c>
      <c r="H5" s="24">
        <f t="shared" si="0"/>
        <v>46123</v>
      </c>
      <c r="I5" s="12" t="s">
        <v>94</v>
      </c>
      <c r="J5" t="str">
        <f t="shared" si="1"/>
        <v>Samsung Smart Phone</v>
      </c>
      <c r="K5" s="6"/>
      <c r="L5" s="4"/>
      <c r="M5" s="4"/>
      <c r="N5" s="4"/>
      <c r="O5" s="4"/>
      <c r="P5" s="4"/>
      <c r="Q5" s="4"/>
    </row>
    <row r="6" spans="1:17" ht="15.75" customHeight="1" x14ac:dyDescent="0.2">
      <c r="A6" s="22" t="s">
        <v>19</v>
      </c>
      <c r="B6" s="14" t="s">
        <v>20</v>
      </c>
      <c r="C6" s="2" t="s">
        <v>21</v>
      </c>
      <c r="D6" s="8">
        <v>70</v>
      </c>
      <c r="E6" s="2">
        <v>20</v>
      </c>
      <c r="F6" s="2"/>
      <c r="G6" s="19" t="str">
        <f>CONCATENATE(Sheet2!B6,Sheet2!C6)</f>
        <v>22MAY</v>
      </c>
      <c r="H6" s="24">
        <f t="shared" si="0"/>
        <v>46164</v>
      </c>
      <c r="I6" s="12" t="s">
        <v>94</v>
      </c>
      <c r="J6" t="str">
        <f t="shared" si="1"/>
        <v>North Face Backpack</v>
      </c>
    </row>
    <row r="7" spans="1:17" ht="15.75" customHeight="1" x14ac:dyDescent="0.2">
      <c r="A7" s="23" t="s">
        <v>22</v>
      </c>
      <c r="B7" s="15" t="s">
        <v>23</v>
      </c>
      <c r="C7" s="3" t="s">
        <v>24</v>
      </c>
      <c r="D7" s="9"/>
      <c r="E7" s="3">
        <v>45</v>
      </c>
      <c r="F7" s="3" t="s">
        <v>8</v>
      </c>
      <c r="G7" s="19" t="str">
        <f>CONCATENATE(Sheet2!B7,Sheet2!C7)</f>
        <v>7JUN</v>
      </c>
      <c r="H7" s="24">
        <f t="shared" si="0"/>
        <v>46180</v>
      </c>
      <c r="I7" s="12" t="s">
        <v>100</v>
      </c>
      <c r="J7" t="str">
        <f t="shared" si="1"/>
        <v>Sony Headphones</v>
      </c>
    </row>
    <row r="8" spans="1:17" ht="15.75" customHeight="1" x14ac:dyDescent="0.2">
      <c r="A8" s="22" t="s">
        <v>25</v>
      </c>
      <c r="B8" s="14" t="s">
        <v>26</v>
      </c>
      <c r="C8" s="2" t="s">
        <v>27</v>
      </c>
      <c r="D8" s="8">
        <v>30</v>
      </c>
      <c r="E8" s="2">
        <v>5</v>
      </c>
      <c r="F8" s="2" t="s">
        <v>12</v>
      </c>
      <c r="G8" s="19" t="str">
        <f>CONCATENATE(Sheet2!B8,Sheet2!C8)</f>
        <v>19JUL</v>
      </c>
      <c r="H8" s="24">
        <f t="shared" si="0"/>
        <v>46222</v>
      </c>
      <c r="I8" s="12" t="s">
        <v>100</v>
      </c>
      <c r="J8" t="str">
        <f t="shared" si="1"/>
        <v>Adidas T-shirt</v>
      </c>
    </row>
    <row r="9" spans="1:17" ht="15.75" customHeight="1" x14ac:dyDescent="0.2">
      <c r="A9" s="23" t="s">
        <v>28</v>
      </c>
      <c r="B9" s="15" t="s">
        <v>29</v>
      </c>
      <c r="C9" s="3" t="s">
        <v>30</v>
      </c>
      <c r="D9" s="9">
        <v>90</v>
      </c>
      <c r="E9" s="3">
        <v>35</v>
      </c>
      <c r="F9" s="3" t="s">
        <v>16</v>
      </c>
      <c r="G9" s="19" t="str">
        <f>CONCATENATE(Sheet2!B9,Sheet2!C9)</f>
        <v>23AUG</v>
      </c>
      <c r="H9" s="24">
        <f t="shared" si="0"/>
        <v>46257</v>
      </c>
      <c r="I9" s="12" t="s">
        <v>100</v>
      </c>
      <c r="J9" t="str">
        <f t="shared" si="1"/>
        <v>Ninja Blender</v>
      </c>
    </row>
    <row r="10" spans="1:17" ht="15.75" customHeight="1" x14ac:dyDescent="0.2">
      <c r="A10" s="22" t="s">
        <v>31</v>
      </c>
      <c r="B10" s="14" t="s">
        <v>32</v>
      </c>
      <c r="C10" s="2" t="s">
        <v>33</v>
      </c>
      <c r="D10" s="8">
        <v>500</v>
      </c>
      <c r="E10" s="2">
        <v>50</v>
      </c>
      <c r="F10" s="2" t="s">
        <v>8</v>
      </c>
      <c r="G10" s="19" t="str">
        <f>CONCATENATE(Sheet2!B10,Sheet2!C10)</f>
        <v>5SEP</v>
      </c>
      <c r="H10" s="24">
        <f t="shared" si="0"/>
        <v>46270</v>
      </c>
      <c r="I10" s="12" t="s">
        <v>100</v>
      </c>
      <c r="J10" t="str">
        <f t="shared" si="1"/>
        <v>Apple Tablet</v>
      </c>
    </row>
    <row r="11" spans="1:17" ht="15.75" customHeight="1" x14ac:dyDescent="0.2">
      <c r="A11" s="23" t="s">
        <v>34</v>
      </c>
      <c r="B11" s="15" t="s">
        <v>35</v>
      </c>
      <c r="C11" s="3" t="s">
        <v>36</v>
      </c>
      <c r="D11" s="9">
        <v>130</v>
      </c>
      <c r="E11" s="3">
        <v>10</v>
      </c>
      <c r="F11" s="3" t="s">
        <v>37</v>
      </c>
      <c r="G11" s="19" t="str">
        <f>CONCATENATE(Sheet2!B11,Sheet2!C11)</f>
        <v>14OCT</v>
      </c>
      <c r="H11" s="24">
        <f t="shared" si="0"/>
        <v>46309</v>
      </c>
      <c r="I11" s="12" t="s">
        <v>100</v>
      </c>
      <c r="J11" t="str">
        <f t="shared" si="1"/>
        <v>Timberland Hiking Boots</v>
      </c>
    </row>
    <row r="12" spans="1:17" ht="15.75" customHeight="1" x14ac:dyDescent="0.2">
      <c r="A12" s="22" t="s">
        <v>38</v>
      </c>
      <c r="B12" s="14" t="s">
        <v>39</v>
      </c>
      <c r="C12" s="2" t="s">
        <v>40</v>
      </c>
      <c r="D12" s="8">
        <v>950</v>
      </c>
      <c r="E12" s="2">
        <v>25</v>
      </c>
      <c r="F12" s="2" t="s">
        <v>8</v>
      </c>
      <c r="G12" s="19" t="str">
        <f>CONCATENATE(Sheet2!B12,Sheet2!C12)</f>
        <v>17JUN</v>
      </c>
      <c r="H12" s="24">
        <f t="shared" si="0"/>
        <v>46190</v>
      </c>
      <c r="I12" s="12" t="s">
        <v>105</v>
      </c>
      <c r="J12" t="str">
        <f t="shared" si="1"/>
        <v>HP Laptop</v>
      </c>
    </row>
    <row r="13" spans="1:17" ht="15.75" customHeight="1" x14ac:dyDescent="0.2">
      <c r="A13" s="23" t="s">
        <v>41</v>
      </c>
      <c r="B13" s="15" t="s">
        <v>10</v>
      </c>
      <c r="C13" s="3" t="s">
        <v>27</v>
      </c>
      <c r="D13" s="9">
        <v>90</v>
      </c>
      <c r="E13" s="3">
        <v>40</v>
      </c>
      <c r="F13" s="3"/>
      <c r="G13" s="19" t="str">
        <f>CONCATENATE(Sheet2!B13,Sheet2!C13)</f>
        <v>25NOV</v>
      </c>
      <c r="H13" s="24">
        <f t="shared" si="0"/>
        <v>46351</v>
      </c>
      <c r="I13" s="12" t="s">
        <v>107</v>
      </c>
      <c r="J13" t="str">
        <f t="shared" si="1"/>
        <v>Adidas Sneakers</v>
      </c>
    </row>
    <row r="14" spans="1:17" ht="15.75" customHeight="1" x14ac:dyDescent="0.2">
      <c r="A14" s="22" t="s">
        <v>42</v>
      </c>
      <c r="B14" s="14" t="s">
        <v>14</v>
      </c>
      <c r="C14" s="2" t="s">
        <v>43</v>
      </c>
      <c r="D14" s="8">
        <v>120</v>
      </c>
      <c r="E14" s="2">
        <v>35</v>
      </c>
      <c r="F14" s="2"/>
      <c r="G14" s="19" t="str">
        <f>CONCATENATE(Sheet2!B14,Sheet2!C14)</f>
        <v>8DEC</v>
      </c>
      <c r="H14" s="24">
        <f t="shared" si="0"/>
        <v>46364</v>
      </c>
      <c r="I14" s="12" t="s">
        <v>109</v>
      </c>
      <c r="J14" t="str">
        <f t="shared" si="1"/>
        <v>Nespresso Coffee Maker</v>
      </c>
    </row>
    <row r="15" spans="1:17" ht="15.75" customHeight="1" x14ac:dyDescent="0.2">
      <c r="A15" s="23" t="s">
        <v>44</v>
      </c>
      <c r="B15" s="15" t="s">
        <v>45</v>
      </c>
      <c r="C15" s="3" t="s">
        <v>46</v>
      </c>
      <c r="D15" s="9">
        <v>150</v>
      </c>
      <c r="E15" s="3">
        <v>15</v>
      </c>
      <c r="F15" s="3" t="s">
        <v>8</v>
      </c>
      <c r="G15" s="19" t="str">
        <f>CONCATENATE(Sheet2!B15,Sheet2!C15)</f>
        <v>18FEB</v>
      </c>
      <c r="H15" s="24">
        <f t="shared" si="0"/>
        <v>46071</v>
      </c>
      <c r="I15" s="12" t="s">
        <v>110</v>
      </c>
      <c r="J15" t="str">
        <f t="shared" si="1"/>
        <v>Fitbit Smartwatch</v>
      </c>
    </row>
    <row r="16" spans="1:17" ht="15.75" customHeight="1" x14ac:dyDescent="0.2">
      <c r="A16" s="22" t="s">
        <v>47</v>
      </c>
      <c r="B16" s="14" t="s">
        <v>23</v>
      </c>
      <c r="C16" s="2" t="s">
        <v>48</v>
      </c>
      <c r="D16" s="8">
        <v>250</v>
      </c>
      <c r="E16" s="2">
        <v>20</v>
      </c>
      <c r="F16" s="2" t="s">
        <v>8</v>
      </c>
      <c r="G16" s="19" t="str">
        <f>CONCATENATE(Sheet2!B16,Sheet2!C16)</f>
        <v>16APR</v>
      </c>
      <c r="H16" s="24">
        <f t="shared" si="0"/>
        <v>46128</v>
      </c>
      <c r="I16" s="12" t="s">
        <v>111</v>
      </c>
      <c r="J16" t="str">
        <f t="shared" si="1"/>
        <v>Bose Headphones</v>
      </c>
    </row>
    <row r="17" spans="1:10" ht="15.75" customHeight="1" x14ac:dyDescent="0.2">
      <c r="A17" s="23" t="s">
        <v>49</v>
      </c>
      <c r="B17" s="15" t="s">
        <v>50</v>
      </c>
      <c r="C17" s="3" t="s">
        <v>51</v>
      </c>
      <c r="D17" s="9">
        <v>50</v>
      </c>
      <c r="E17" s="3">
        <v>35</v>
      </c>
      <c r="F17" s="3" t="s">
        <v>52</v>
      </c>
      <c r="G17" s="19" t="str">
        <f>CONCATENATE(Sheet2!B17,Sheet2!C17)</f>
        <v>21AUG</v>
      </c>
      <c r="H17" s="24">
        <f t="shared" si="0"/>
        <v>46255</v>
      </c>
      <c r="I17" s="12" t="s">
        <v>110</v>
      </c>
      <c r="J17" t="str">
        <f t="shared" si="1"/>
        <v>Samsonite Laptop Bag</v>
      </c>
    </row>
    <row r="18" spans="1:10" ht="15.75" customHeight="1" x14ac:dyDescent="0.2">
      <c r="A18" s="22" t="s">
        <v>53</v>
      </c>
      <c r="B18" s="14" t="s">
        <v>45</v>
      </c>
      <c r="C18" s="2" t="s">
        <v>54</v>
      </c>
      <c r="D18" s="8">
        <v>160</v>
      </c>
      <c r="E18" s="2">
        <v>15</v>
      </c>
      <c r="F18" s="2" t="s">
        <v>8</v>
      </c>
      <c r="G18" s="19" t="str">
        <f>CONCATENATE(Sheet2!B18,Sheet2!C18)</f>
        <v>20AUG</v>
      </c>
      <c r="H18" s="24">
        <f t="shared" si="0"/>
        <v>46254</v>
      </c>
      <c r="I18" s="12" t="s">
        <v>112</v>
      </c>
      <c r="J18" t="str">
        <f t="shared" si="1"/>
        <v>Huawei Smartwatch</v>
      </c>
    </row>
    <row r="19" spans="1:10" ht="15.75" customHeight="1" x14ac:dyDescent="0.2">
      <c r="A19" s="23" t="s">
        <v>55</v>
      </c>
      <c r="B19" s="15" t="s">
        <v>39</v>
      </c>
      <c r="C19" s="3" t="s">
        <v>56</v>
      </c>
      <c r="D19" s="9">
        <v>980</v>
      </c>
      <c r="E19" s="3">
        <v>10</v>
      </c>
      <c r="F19" s="17" t="s">
        <v>8</v>
      </c>
      <c r="G19" s="19" t="str">
        <f>CONCATENATE(Sheet2!B19,Sheet2!C19)</f>
        <v>27JAN</v>
      </c>
      <c r="H19" s="24">
        <f t="shared" si="0"/>
        <v>46049</v>
      </c>
      <c r="I19" s="12" t="s">
        <v>113</v>
      </c>
      <c r="J19" t="str">
        <f t="shared" si="1"/>
        <v>Asus Laptop</v>
      </c>
    </row>
    <row r="20" spans="1:10" ht="15.75" customHeight="1" x14ac:dyDescent="0.2">
      <c r="A20" s="22" t="s">
        <v>57</v>
      </c>
      <c r="B20" s="14" t="s">
        <v>58</v>
      </c>
      <c r="C20" s="2" t="s">
        <v>59</v>
      </c>
      <c r="D20" s="8">
        <v>150</v>
      </c>
      <c r="E20" s="2">
        <v>15</v>
      </c>
      <c r="F20" s="2" t="s">
        <v>12</v>
      </c>
      <c r="G20" s="19" t="str">
        <f>CONCATENATE(Sheet2!B20,Sheet2!C20)</f>
        <v>1MAR</v>
      </c>
      <c r="H20" s="24">
        <f t="shared" si="0"/>
        <v>46082</v>
      </c>
      <c r="I20" s="12" t="s">
        <v>100</v>
      </c>
      <c r="J20" t="str">
        <f t="shared" si="1"/>
        <v>Oakley Sunglasses</v>
      </c>
    </row>
    <row r="21" spans="1:10" ht="15.75" customHeight="1" x14ac:dyDescent="0.2">
      <c r="A21" s="23" t="s">
        <v>60</v>
      </c>
      <c r="B21" s="15" t="s">
        <v>61</v>
      </c>
      <c r="C21" s="3" t="s">
        <v>62</v>
      </c>
      <c r="D21" s="9"/>
      <c r="E21" s="3">
        <v>10</v>
      </c>
      <c r="F21" s="3" t="s">
        <v>37</v>
      </c>
      <c r="G21" s="19" t="str">
        <f>CONCATENATE(Sheet2!B21,Sheet2!C21)</f>
        <v>14AUG</v>
      </c>
      <c r="H21" s="24">
        <f t="shared" si="0"/>
        <v>46248</v>
      </c>
      <c r="I21" s="12" t="s">
        <v>94</v>
      </c>
      <c r="J21" t="str">
        <f t="shared" si="1"/>
        <v>Coleman Camping Tent</v>
      </c>
    </row>
    <row r="22" spans="1:10" ht="15.75" customHeight="1" x14ac:dyDescent="0.2">
      <c r="A22" s="22" t="s">
        <v>63</v>
      </c>
      <c r="B22" s="14" t="s">
        <v>64</v>
      </c>
      <c r="C22" s="2" t="s">
        <v>65</v>
      </c>
      <c r="D22" s="8">
        <v>700</v>
      </c>
      <c r="E22" s="2">
        <v>50</v>
      </c>
      <c r="F22" s="2" t="s">
        <v>8</v>
      </c>
      <c r="G22" s="19" t="str">
        <f>CONCATENATE(Sheet2!B22,Sheet2!C22)</f>
        <v>14MAY</v>
      </c>
      <c r="H22" s="24">
        <f t="shared" si="0"/>
        <v>46156</v>
      </c>
      <c r="I22" s="12" t="s">
        <v>114</v>
      </c>
      <c r="J22" t="str">
        <f t="shared" si="1"/>
        <v>Nikon Camera</v>
      </c>
    </row>
    <row r="23" spans="1:10" ht="15.75" customHeight="1" x14ac:dyDescent="0.2">
      <c r="A23" s="23" t="s">
        <v>66</v>
      </c>
      <c r="B23" s="15" t="s">
        <v>67</v>
      </c>
      <c r="C23" s="3" t="s">
        <v>68</v>
      </c>
      <c r="D23" s="9">
        <v>80</v>
      </c>
      <c r="E23" s="3">
        <v>20</v>
      </c>
      <c r="F23" s="3" t="s">
        <v>16</v>
      </c>
      <c r="G23" s="19" t="str">
        <f>CONCATENATE(Sheet2!B23,Sheet2!C23)</f>
        <v>9JAN</v>
      </c>
      <c r="H23" s="24">
        <f t="shared" si="0"/>
        <v>46031</v>
      </c>
      <c r="I23" s="12" t="s">
        <v>110</v>
      </c>
      <c r="J23" t="str">
        <f t="shared" si="1"/>
        <v>Panasonic Microwave</v>
      </c>
    </row>
    <row r="24" spans="1:10" ht="15.75" customHeight="1" x14ac:dyDescent="0.2">
      <c r="A24" s="22" t="s">
        <v>69</v>
      </c>
      <c r="B24" s="14" t="s">
        <v>70</v>
      </c>
      <c r="C24" s="2" t="s">
        <v>71</v>
      </c>
      <c r="D24" s="8">
        <v>150</v>
      </c>
      <c r="E24" s="2">
        <v>30</v>
      </c>
      <c r="F24" s="2"/>
      <c r="G24" s="19" t="str">
        <f>CONCATENATE(Sheet2!B24,Sheet2!C24)</f>
        <v>19JUL</v>
      </c>
      <c r="H24" s="24">
        <f t="shared" si="0"/>
        <v>46222</v>
      </c>
      <c r="I24" s="12" t="s">
        <v>115</v>
      </c>
      <c r="J24" t="str">
        <f t="shared" si="1"/>
        <v>Xiaomi Fitness Tracker</v>
      </c>
    </row>
    <row r="25" spans="1:10" ht="15.75" customHeight="1" x14ac:dyDescent="0.2">
      <c r="A25" s="23" t="s">
        <v>49</v>
      </c>
      <c r="B25" s="15" t="s">
        <v>50</v>
      </c>
      <c r="C25" s="3" t="s">
        <v>51</v>
      </c>
      <c r="D25" s="9">
        <v>50</v>
      </c>
      <c r="E25" s="3">
        <v>35</v>
      </c>
      <c r="F25" s="3" t="s">
        <v>52</v>
      </c>
      <c r="G25" s="19" t="str">
        <f>CONCATENATE(Sheet2!B25,Sheet2!C25)</f>
        <v>21AUG</v>
      </c>
      <c r="H25" s="24">
        <f t="shared" si="0"/>
        <v>46255</v>
      </c>
      <c r="I25" s="12" t="s">
        <v>110</v>
      </c>
      <c r="J25" t="str">
        <f t="shared" si="1"/>
        <v>Samsonite Laptop Bag</v>
      </c>
    </row>
    <row r="26" spans="1:10" ht="15.75" customHeight="1" x14ac:dyDescent="0.2">
      <c r="A26" s="22" t="s">
        <v>72</v>
      </c>
      <c r="B26" s="14" t="s">
        <v>119</v>
      </c>
      <c r="C26" s="2" t="s">
        <v>73</v>
      </c>
      <c r="D26" s="8">
        <v>800</v>
      </c>
      <c r="E26" s="2">
        <v>45</v>
      </c>
      <c r="F26" s="2" t="s">
        <v>8</v>
      </c>
      <c r="G26" s="19" t="str">
        <f>CONCATENATE(Sheet2!B26,Sheet2!C26)</f>
        <v>29SEP</v>
      </c>
      <c r="H26" s="24">
        <f t="shared" si="0"/>
        <v>46294</v>
      </c>
      <c r="I26" s="12" t="s">
        <v>110</v>
      </c>
      <c r="J26" t="str">
        <f t="shared" si="1"/>
        <v>Google Smart Phone</v>
      </c>
    </row>
    <row r="27" spans="1:10" ht="15.75" customHeight="1" x14ac:dyDescent="0.2">
      <c r="A27" s="23" t="s">
        <v>74</v>
      </c>
      <c r="B27" s="15" t="s">
        <v>58</v>
      </c>
      <c r="C27" s="3" t="s">
        <v>75</v>
      </c>
      <c r="D27" s="9"/>
      <c r="E27" s="3">
        <v>25</v>
      </c>
      <c r="F27" s="3" t="s">
        <v>12</v>
      </c>
      <c r="G27" s="19" t="str">
        <f>CONCATENATE(Sheet2!B27,Sheet2!C27)</f>
        <v>3JUN</v>
      </c>
      <c r="H27" s="24">
        <f t="shared" si="0"/>
        <v>46176</v>
      </c>
      <c r="I27" s="12" t="s">
        <v>110</v>
      </c>
      <c r="J27" t="str">
        <f t="shared" si="1"/>
        <v>Ray-Ban Sunglasses</v>
      </c>
    </row>
    <row r="28" spans="1:10" ht="15.75" customHeight="1" x14ac:dyDescent="0.2">
      <c r="A28" s="22" t="s">
        <v>76</v>
      </c>
      <c r="B28" s="14" t="s">
        <v>29</v>
      </c>
      <c r="C28" s="2" t="s">
        <v>77</v>
      </c>
      <c r="D28" s="8">
        <v>400</v>
      </c>
      <c r="E28" s="2">
        <v>40</v>
      </c>
      <c r="F28" s="2" t="s">
        <v>16</v>
      </c>
      <c r="G28" s="19" t="str">
        <f>CONCATENATE(Sheet2!B28,Sheet2!C28)</f>
        <v>11JUL</v>
      </c>
      <c r="H28" s="24">
        <f t="shared" si="0"/>
        <v>46214</v>
      </c>
      <c r="I28" s="12" t="s">
        <v>110</v>
      </c>
      <c r="J28" t="str">
        <f t="shared" si="1"/>
        <v>Vitamix Blender</v>
      </c>
    </row>
    <row r="29" spans="1:10" ht="15.75" customHeight="1" x14ac:dyDescent="0.2">
      <c r="A29" s="23" t="s">
        <v>47</v>
      </c>
      <c r="B29" s="15" t="s">
        <v>23</v>
      </c>
      <c r="C29" s="3" t="s">
        <v>48</v>
      </c>
      <c r="D29" s="9">
        <v>250</v>
      </c>
      <c r="E29" s="3">
        <v>20</v>
      </c>
      <c r="F29" s="3" t="s">
        <v>8</v>
      </c>
      <c r="G29" s="19" t="str">
        <f>CONCATENATE(Sheet2!B29,Sheet2!C29)</f>
        <v>16APR</v>
      </c>
      <c r="H29" s="24">
        <f t="shared" si="0"/>
        <v>46128</v>
      </c>
      <c r="I29" s="12" t="s">
        <v>111</v>
      </c>
      <c r="J29" t="str">
        <f t="shared" si="1"/>
        <v>Bose Headphones</v>
      </c>
    </row>
    <row r="30" spans="1:10" ht="15.75" customHeight="1" x14ac:dyDescent="0.2">
      <c r="A30" s="22" t="s">
        <v>78</v>
      </c>
      <c r="B30" s="14" t="s">
        <v>79</v>
      </c>
      <c r="C30" s="2" t="s">
        <v>80</v>
      </c>
      <c r="D30" s="8">
        <v>60</v>
      </c>
      <c r="E30" s="2">
        <v>30</v>
      </c>
      <c r="F30" s="2" t="s">
        <v>12</v>
      </c>
      <c r="G30" s="19" t="str">
        <f>CONCATENATE(Sheet2!B30,Sheet2!C30)</f>
        <v>7MAR</v>
      </c>
      <c r="H30" s="24">
        <f t="shared" si="0"/>
        <v>46088</v>
      </c>
      <c r="I30" s="12" t="s">
        <v>110</v>
      </c>
      <c r="J30" t="str">
        <f t="shared" si="1"/>
        <v>Zara Dress</v>
      </c>
    </row>
    <row r="31" spans="1:10" ht="15.75" customHeight="1" x14ac:dyDescent="0.2">
      <c r="A31" s="23" t="s">
        <v>81</v>
      </c>
      <c r="B31" s="15" t="s">
        <v>82</v>
      </c>
      <c r="C31" s="3" t="s">
        <v>83</v>
      </c>
      <c r="D31" s="9">
        <v>40</v>
      </c>
      <c r="E31" s="3">
        <v>10</v>
      </c>
      <c r="F31" s="3" t="s">
        <v>16</v>
      </c>
      <c r="G31" s="19" t="str">
        <f>CONCATENATE(Sheet2!B31,Sheet2!C31)</f>
        <v>13APR</v>
      </c>
      <c r="H31" s="24">
        <f t="shared" si="0"/>
        <v>46125</v>
      </c>
      <c r="I31" s="12" t="s">
        <v>110</v>
      </c>
      <c r="J31" t="str">
        <f t="shared" si="1"/>
        <v>Hamilton Toaster</v>
      </c>
    </row>
    <row r="32" spans="1:10" ht="15.75" customHeight="1" x14ac:dyDescent="0.2">
      <c r="A32" s="22" t="s">
        <v>84</v>
      </c>
      <c r="B32" s="14" t="s">
        <v>70</v>
      </c>
      <c r="C32" s="2" t="s">
        <v>85</v>
      </c>
      <c r="D32" s="8">
        <v>130</v>
      </c>
      <c r="E32" s="2">
        <v>5</v>
      </c>
      <c r="F32" s="2" t="s">
        <v>8</v>
      </c>
      <c r="G32" s="19" t="str">
        <f>CONCATENATE(Sheet2!B32,Sheet2!C32)</f>
        <v>24MAY</v>
      </c>
      <c r="H32" s="24">
        <f t="shared" si="0"/>
        <v>46166</v>
      </c>
      <c r="I32" s="12" t="s">
        <v>110</v>
      </c>
      <c r="J32" t="str">
        <f t="shared" si="1"/>
        <v>Garmin Fitness Tracker</v>
      </c>
    </row>
    <row r="33" spans="1:10" ht="15.75" customHeight="1" x14ac:dyDescent="0.2">
      <c r="A33" s="23" t="s">
        <v>86</v>
      </c>
      <c r="B33" s="15" t="s">
        <v>87</v>
      </c>
      <c r="C33" s="3" t="s">
        <v>88</v>
      </c>
      <c r="D33" s="9">
        <v>50</v>
      </c>
      <c r="E33" s="3">
        <v>50</v>
      </c>
      <c r="F33" s="3" t="s">
        <v>12</v>
      </c>
      <c r="G33" s="19" t="str">
        <f>CONCATENATE(Sheet2!B33,Sheet2!C33)</f>
        <v>2DEC</v>
      </c>
      <c r="H33" s="24">
        <f t="shared" si="0"/>
        <v>46358</v>
      </c>
      <c r="I33" s="12" t="s">
        <v>110</v>
      </c>
      <c r="J33" t="str">
        <f t="shared" si="1"/>
        <v>Levi's Jeans</v>
      </c>
    </row>
    <row r="34" spans="1:10" ht="15.75" customHeight="1" x14ac:dyDescent="0.2">
      <c r="A34" s="22" t="s">
        <v>38</v>
      </c>
      <c r="B34" s="14" t="s">
        <v>39</v>
      </c>
      <c r="C34" s="2" t="s">
        <v>40</v>
      </c>
      <c r="D34" s="8">
        <v>950</v>
      </c>
      <c r="E34" s="2">
        <v>25</v>
      </c>
      <c r="F34" s="2" t="s">
        <v>8</v>
      </c>
      <c r="G34" s="19" t="str">
        <f>CONCATENATE(Sheet2!B34,Sheet2!C34)</f>
        <v>17JUN</v>
      </c>
      <c r="H34" s="24">
        <f t="shared" si="0"/>
        <v>46190</v>
      </c>
      <c r="I34" s="12" t="s">
        <v>105</v>
      </c>
      <c r="J34" t="str">
        <f t="shared" si="1"/>
        <v>HP Laptop</v>
      </c>
    </row>
    <row r="35" spans="1:10" ht="15.75" customHeight="1" x14ac:dyDescent="0.2">
      <c r="A35" s="23" t="s">
        <v>89</v>
      </c>
      <c r="B35" s="15" t="s">
        <v>90</v>
      </c>
      <c r="C35" s="3" t="s">
        <v>91</v>
      </c>
      <c r="D35" s="9">
        <v>100</v>
      </c>
      <c r="E35" s="3">
        <v>20</v>
      </c>
      <c r="F35" s="3" t="s">
        <v>52</v>
      </c>
      <c r="G35" s="19" t="str">
        <f>CONCATENATE(Sheet2!B35,Sheet2!C35)</f>
        <v>9JUL</v>
      </c>
      <c r="H35" s="24">
        <f t="shared" si="0"/>
        <v>46212</v>
      </c>
      <c r="I35" s="12" t="s">
        <v>116</v>
      </c>
      <c r="J35" t="str">
        <f t="shared" si="1"/>
        <v>Casio Watch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35"/>
  <conditionalFormatting sqref="I2:XFD35 A1:XFD1 A36:XFD1048576 A2:F35">
    <cfRule type="duplicateValues" dxfId="2" priority="3"/>
  </conditionalFormatting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5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G15" sqref="G15"/>
    </sheetView>
  </sheetViews>
  <sheetFormatPr defaultRowHeight="12.75" x14ac:dyDescent="0.2"/>
  <cols>
    <col min="1" max="1" width="22.5703125" style="19" customWidth="1"/>
    <col min="2" max="2" width="10.85546875" bestFit="1" customWidth="1"/>
    <col min="5" max="5" width="10.140625" bestFit="1" customWidth="1"/>
  </cols>
  <sheetData>
    <row r="1" spans="1:5" x14ac:dyDescent="0.2">
      <c r="B1" s="1" t="s">
        <v>0</v>
      </c>
    </row>
    <row r="2" spans="1:5" x14ac:dyDescent="0.2">
      <c r="A2" s="19" t="str">
        <f>CONCATENATE(B2," ",C2)</f>
        <v>28 JAN</v>
      </c>
      <c r="B2" s="2">
        <v>28</v>
      </c>
      <c r="C2" t="s">
        <v>93</v>
      </c>
      <c r="D2" t="s">
        <v>94</v>
      </c>
      <c r="E2" s="19">
        <f>DATEVALUE(A2)</f>
        <v>46050</v>
      </c>
    </row>
    <row r="3" spans="1:5" x14ac:dyDescent="0.2">
      <c r="A3" s="19" t="str">
        <f t="shared" ref="A3:A35" si="0">CONCATENATE(B3," ",C3)</f>
        <v>15 FEB</v>
      </c>
      <c r="B3" s="3">
        <v>15</v>
      </c>
      <c r="C3" t="s">
        <v>95</v>
      </c>
      <c r="D3" t="s">
        <v>94</v>
      </c>
    </row>
    <row r="4" spans="1:5" x14ac:dyDescent="0.2">
      <c r="A4" s="19" t="str">
        <f t="shared" si="0"/>
        <v>3 MAR</v>
      </c>
      <c r="B4" s="2">
        <v>3</v>
      </c>
      <c r="C4" t="s">
        <v>96</v>
      </c>
      <c r="D4" t="s">
        <v>94</v>
      </c>
    </row>
    <row r="5" spans="1:5" x14ac:dyDescent="0.2">
      <c r="A5" s="19" t="str">
        <f t="shared" si="0"/>
        <v>11 APR</v>
      </c>
      <c r="B5" s="3">
        <v>11</v>
      </c>
      <c r="C5" t="s">
        <v>97</v>
      </c>
      <c r="D5" t="s">
        <v>94</v>
      </c>
    </row>
    <row r="6" spans="1:5" x14ac:dyDescent="0.2">
      <c r="A6" s="19" t="str">
        <f t="shared" si="0"/>
        <v>22 MAY</v>
      </c>
      <c r="B6" s="2">
        <v>22</v>
      </c>
      <c r="C6" t="s">
        <v>98</v>
      </c>
      <c r="D6" t="s">
        <v>94</v>
      </c>
    </row>
    <row r="7" spans="1:5" x14ac:dyDescent="0.2">
      <c r="A7" s="19" t="str">
        <f t="shared" si="0"/>
        <v>7 JUN</v>
      </c>
      <c r="B7" s="3">
        <v>7</v>
      </c>
      <c r="C7" t="s">
        <v>99</v>
      </c>
      <c r="D7" t="s">
        <v>100</v>
      </c>
    </row>
    <row r="8" spans="1:5" x14ac:dyDescent="0.2">
      <c r="A8" s="19" t="str">
        <f t="shared" si="0"/>
        <v>19 JUL</v>
      </c>
      <c r="B8" s="2">
        <v>19</v>
      </c>
      <c r="C8" t="s">
        <v>101</v>
      </c>
      <c r="D8" t="s">
        <v>100</v>
      </c>
    </row>
    <row r="9" spans="1:5" x14ac:dyDescent="0.2">
      <c r="A9" s="19" t="str">
        <f t="shared" si="0"/>
        <v>23 AUG</v>
      </c>
      <c r="B9" s="3">
        <v>23</v>
      </c>
      <c r="C9" t="s">
        <v>102</v>
      </c>
      <c r="D9" t="s">
        <v>100</v>
      </c>
    </row>
    <row r="10" spans="1:5" x14ac:dyDescent="0.2">
      <c r="A10" s="19" t="str">
        <f t="shared" si="0"/>
        <v>5 SEP</v>
      </c>
      <c r="B10" s="2">
        <v>5</v>
      </c>
      <c r="C10" t="s">
        <v>103</v>
      </c>
      <c r="D10" t="s">
        <v>100</v>
      </c>
    </row>
    <row r="11" spans="1:5" x14ac:dyDescent="0.2">
      <c r="A11" s="19" t="str">
        <f t="shared" si="0"/>
        <v>14 OCT</v>
      </c>
      <c r="B11" s="3">
        <v>14</v>
      </c>
      <c r="C11" t="s">
        <v>104</v>
      </c>
      <c r="D11" t="s">
        <v>100</v>
      </c>
    </row>
    <row r="12" spans="1:5" x14ac:dyDescent="0.2">
      <c r="A12" s="19" t="str">
        <f t="shared" si="0"/>
        <v>17 JUN</v>
      </c>
      <c r="B12" s="2">
        <v>17</v>
      </c>
      <c r="C12" t="s">
        <v>99</v>
      </c>
      <c r="D12" t="s">
        <v>105</v>
      </c>
    </row>
    <row r="13" spans="1:5" x14ac:dyDescent="0.2">
      <c r="A13" s="19" t="str">
        <f t="shared" si="0"/>
        <v>25 NOV</v>
      </c>
      <c r="B13" s="3">
        <v>25</v>
      </c>
      <c r="C13" t="s">
        <v>106</v>
      </c>
      <c r="D13" t="s">
        <v>107</v>
      </c>
    </row>
    <row r="14" spans="1:5" x14ac:dyDescent="0.2">
      <c r="A14" s="19" t="str">
        <f t="shared" si="0"/>
        <v>8 DEC</v>
      </c>
      <c r="B14" s="2">
        <v>8</v>
      </c>
      <c r="C14" t="s">
        <v>108</v>
      </c>
      <c r="D14" t="s">
        <v>109</v>
      </c>
    </row>
    <row r="15" spans="1:5" x14ac:dyDescent="0.2">
      <c r="A15" s="19" t="str">
        <f t="shared" si="0"/>
        <v>18 FEB</v>
      </c>
      <c r="B15" s="3">
        <v>18</v>
      </c>
      <c r="C15" t="s">
        <v>95</v>
      </c>
      <c r="D15" t="s">
        <v>110</v>
      </c>
    </row>
    <row r="16" spans="1:5" x14ac:dyDescent="0.2">
      <c r="A16" s="19" t="str">
        <f t="shared" si="0"/>
        <v>16 APR</v>
      </c>
      <c r="B16" s="2">
        <v>16</v>
      </c>
      <c r="C16" t="s">
        <v>97</v>
      </c>
      <c r="D16" t="s">
        <v>111</v>
      </c>
    </row>
    <row r="17" spans="1:4" x14ac:dyDescent="0.2">
      <c r="A17" s="19" t="str">
        <f t="shared" si="0"/>
        <v>21 AUG</v>
      </c>
      <c r="B17" s="3">
        <v>21</v>
      </c>
      <c r="C17" t="s">
        <v>102</v>
      </c>
      <c r="D17" t="s">
        <v>110</v>
      </c>
    </row>
    <row r="18" spans="1:4" x14ac:dyDescent="0.2">
      <c r="A18" s="19" t="str">
        <f t="shared" si="0"/>
        <v>20 AUG</v>
      </c>
      <c r="B18" s="2">
        <v>20</v>
      </c>
      <c r="C18" t="s">
        <v>102</v>
      </c>
      <c r="D18" t="s">
        <v>112</v>
      </c>
    </row>
    <row r="19" spans="1:4" x14ac:dyDescent="0.2">
      <c r="A19" s="19" t="str">
        <f t="shared" si="0"/>
        <v>27 JAN</v>
      </c>
      <c r="B19" s="3">
        <v>27</v>
      </c>
      <c r="C19" t="s">
        <v>93</v>
      </c>
      <c r="D19" t="s">
        <v>113</v>
      </c>
    </row>
    <row r="20" spans="1:4" x14ac:dyDescent="0.2">
      <c r="A20" s="19" t="str">
        <f t="shared" si="0"/>
        <v>1 MAR</v>
      </c>
      <c r="B20" s="2">
        <v>1</v>
      </c>
      <c r="C20" t="s">
        <v>96</v>
      </c>
      <c r="D20" t="s">
        <v>100</v>
      </c>
    </row>
    <row r="21" spans="1:4" x14ac:dyDescent="0.2">
      <c r="A21" s="19" t="str">
        <f t="shared" si="0"/>
        <v>14 AUG</v>
      </c>
      <c r="B21" s="3">
        <v>14</v>
      </c>
      <c r="C21" t="s">
        <v>102</v>
      </c>
      <c r="D21" t="s">
        <v>94</v>
      </c>
    </row>
    <row r="22" spans="1:4" x14ac:dyDescent="0.2">
      <c r="A22" s="19" t="str">
        <f t="shared" si="0"/>
        <v>14 MAY</v>
      </c>
      <c r="B22" s="2">
        <v>14</v>
      </c>
      <c r="C22" t="s">
        <v>98</v>
      </c>
      <c r="D22" t="s">
        <v>114</v>
      </c>
    </row>
    <row r="23" spans="1:4" x14ac:dyDescent="0.2">
      <c r="A23" s="19" t="str">
        <f t="shared" si="0"/>
        <v>9 JAN</v>
      </c>
      <c r="B23" s="3">
        <v>9</v>
      </c>
      <c r="C23" t="s">
        <v>93</v>
      </c>
      <c r="D23" t="s">
        <v>110</v>
      </c>
    </row>
    <row r="24" spans="1:4" x14ac:dyDescent="0.2">
      <c r="A24" s="19" t="str">
        <f t="shared" si="0"/>
        <v>19 JUL</v>
      </c>
      <c r="B24" s="2">
        <v>19</v>
      </c>
      <c r="C24" t="s">
        <v>101</v>
      </c>
      <c r="D24" t="s">
        <v>115</v>
      </c>
    </row>
    <row r="25" spans="1:4" x14ac:dyDescent="0.2">
      <c r="A25" s="19" t="str">
        <f t="shared" si="0"/>
        <v>21 AUG</v>
      </c>
      <c r="B25" s="3">
        <v>21</v>
      </c>
      <c r="C25" t="s">
        <v>102</v>
      </c>
      <c r="D25" t="s">
        <v>110</v>
      </c>
    </row>
    <row r="26" spans="1:4" x14ac:dyDescent="0.2">
      <c r="A26" s="19" t="str">
        <f t="shared" si="0"/>
        <v>29 SEP</v>
      </c>
      <c r="B26" s="2">
        <v>29</v>
      </c>
      <c r="C26" t="s">
        <v>103</v>
      </c>
      <c r="D26" t="s">
        <v>110</v>
      </c>
    </row>
    <row r="27" spans="1:4" x14ac:dyDescent="0.2">
      <c r="A27" s="19" t="str">
        <f t="shared" si="0"/>
        <v>3 JUN</v>
      </c>
      <c r="B27" s="3">
        <v>3</v>
      </c>
      <c r="C27" t="s">
        <v>99</v>
      </c>
      <c r="D27" t="s">
        <v>110</v>
      </c>
    </row>
    <row r="28" spans="1:4" x14ac:dyDescent="0.2">
      <c r="A28" s="19" t="str">
        <f t="shared" si="0"/>
        <v>11 JUL</v>
      </c>
      <c r="B28" s="2">
        <v>11</v>
      </c>
      <c r="C28" t="s">
        <v>101</v>
      </c>
      <c r="D28" t="s">
        <v>110</v>
      </c>
    </row>
    <row r="29" spans="1:4" x14ac:dyDescent="0.2">
      <c r="A29" s="19" t="str">
        <f t="shared" si="0"/>
        <v>16 APR</v>
      </c>
      <c r="B29" s="3">
        <v>16</v>
      </c>
      <c r="C29" t="s">
        <v>97</v>
      </c>
      <c r="D29" t="s">
        <v>111</v>
      </c>
    </row>
    <row r="30" spans="1:4" x14ac:dyDescent="0.2">
      <c r="A30" s="19" t="str">
        <f t="shared" si="0"/>
        <v>7 MAR</v>
      </c>
      <c r="B30" s="2">
        <v>7</v>
      </c>
      <c r="C30" t="s">
        <v>96</v>
      </c>
      <c r="D30" t="s">
        <v>110</v>
      </c>
    </row>
    <row r="31" spans="1:4" x14ac:dyDescent="0.2">
      <c r="A31" s="19" t="str">
        <f t="shared" si="0"/>
        <v>13 APR</v>
      </c>
      <c r="B31" s="3">
        <v>13</v>
      </c>
      <c r="C31" t="s">
        <v>97</v>
      </c>
      <c r="D31" t="s">
        <v>110</v>
      </c>
    </row>
    <row r="32" spans="1:4" x14ac:dyDescent="0.2">
      <c r="A32" s="19" t="str">
        <f t="shared" si="0"/>
        <v>24 MAY</v>
      </c>
      <c r="B32" s="2">
        <v>24</v>
      </c>
      <c r="C32" t="s">
        <v>98</v>
      </c>
      <c r="D32" t="s">
        <v>110</v>
      </c>
    </row>
    <row r="33" spans="1:4" x14ac:dyDescent="0.2">
      <c r="A33" s="19" t="str">
        <f t="shared" si="0"/>
        <v>2 DEC</v>
      </c>
      <c r="B33" s="3">
        <v>2</v>
      </c>
      <c r="C33" t="s">
        <v>108</v>
      </c>
      <c r="D33" t="s">
        <v>110</v>
      </c>
    </row>
    <row r="34" spans="1:4" x14ac:dyDescent="0.2">
      <c r="A34" s="19" t="str">
        <f t="shared" si="0"/>
        <v>17 JUN</v>
      </c>
      <c r="B34" s="2">
        <v>17</v>
      </c>
      <c r="C34" t="s">
        <v>99</v>
      </c>
      <c r="D34" t="s">
        <v>105</v>
      </c>
    </row>
    <row r="35" spans="1:4" x14ac:dyDescent="0.2">
      <c r="A35" s="19" t="str">
        <f t="shared" si="0"/>
        <v>9 JUL</v>
      </c>
      <c r="B35" s="3">
        <v>9</v>
      </c>
      <c r="C35" t="s">
        <v>101</v>
      </c>
      <c r="D35" t="s">
        <v>116</v>
      </c>
    </row>
  </sheetData>
  <conditionalFormatting sqref="B1:B1048576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chandru selva</cp:lastModifiedBy>
  <dcterms:modified xsi:type="dcterms:W3CDTF">2026-06-13T07:23:45Z</dcterms:modified>
</cp:coreProperties>
</file>